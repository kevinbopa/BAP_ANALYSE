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uts fixes" sheetId="2" state="visible" r:id="rId2"/>
    <sheet name="Depots &amp; retraits" sheetId="3" state="visible" r:id="rId3"/>
    <sheet name="Bilan mensuel" sheetId="4" state="visible" r:id="rId4"/>
    <sheet name="Projection break-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$&quot;;[Red]-#,##0.00 &quot;$&quot;"/>
    <numFmt numFmtId="165" formatCode="[Green]+#,##0.00 &quot;$&quot;;[Red]-#,##0.00 &quot;$&quot;"/>
    <numFmt numFmtId="166" formatCode="0.0"/>
    <numFmt numFmtId="167" formatCode="yyyy-mm-dd"/>
    <numFmt numFmtId="168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E1B2E"/>
      <sz val="18"/>
    </font>
    <font>
      <name val="Calibri"/>
      <i val="1"/>
      <color rgb="006B7280"/>
      <sz val="10"/>
    </font>
    <font>
      <name val="Calibri"/>
      <b val="1"/>
      <color rgb="000E1B2E"/>
      <sz val="12"/>
    </font>
    <font>
      <name val="Calibri"/>
      <b val="1"/>
      <sz val="18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2"/>
    </font>
    <font>
      <i val="1"/>
      <strike val="1"/>
      <color rgb="009CA3AF"/>
    </font>
  </fonts>
  <fills count="9">
    <fill>
      <patternFill/>
    </fill>
    <fill>
      <patternFill patternType="gray125"/>
    </fill>
    <fill>
      <patternFill patternType="solid">
        <fgColor rgb="0014B8A6"/>
      </patternFill>
    </fill>
    <fill>
      <patternFill patternType="solid">
        <fgColor rgb="00F5F7FA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0E1B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pivotButton="0" quotePrefix="0" xfId="0"/>
    <xf numFmtId="164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167" fontId="0" fillId="3" borderId="1" pivotButton="0" quotePrefix="0" xfId="0"/>
    <xf numFmtId="0" fontId="5" fillId="3" borderId="1" pivotButton="0" quotePrefix="0" xfId="0"/>
    <xf numFmtId="0" fontId="2" fillId="3" borderId="1" pivotButton="0" quotePrefix="0" xfId="0"/>
    <xf numFmtId="164" fontId="5" fillId="3" borderId="1" pivotButton="0" quotePrefix="0" xfId="0"/>
    <xf numFmtId="164" fontId="2" fillId="3" borderId="1" pivotButton="0" quotePrefix="0" xfId="0"/>
    <xf numFmtId="167" fontId="0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164" fontId="2" fillId="0" borderId="1" pivotButton="0" quotePrefix="0" xfId="0"/>
    <xf numFmtId="0" fontId="7" fillId="8" borderId="0" applyAlignment="1" pivotButton="0" quotePrefix="0" xfId="0">
      <alignment horizontal="right" vertical="center"/>
    </xf>
    <xf numFmtId="164" fontId="7" fillId="8" borderId="0" pivotButton="0" quotePrefix="0" xfId="0"/>
    <xf numFmtId="0" fontId="3" fillId="0" borderId="0" pivotButton="0" quotePrefix="0" xfId="0"/>
    <xf numFmtId="0" fontId="6" fillId="7" borderId="0" pivotButton="0" quotePrefix="0" xfId="0"/>
    <xf numFmtId="164" fontId="0" fillId="0" borderId="0" pivotButton="0" quotePrefix="0" xfId="0"/>
    <xf numFmtId="0" fontId="3" fillId="6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6" borderId="0" applyAlignment="1" pivotButton="0" quotePrefix="0" xfId="0">
      <alignment horizontal="right" vertical="center"/>
    </xf>
    <xf numFmtId="164" fontId="7" fillId="6" borderId="0" pivotButton="0" quotePrefix="0" xfId="0"/>
    <xf numFmtId="0" fontId="3" fillId="5" borderId="0" pivotButton="0" quotePrefix="0" xfId="0"/>
    <xf numFmtId="167" fontId="8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7" fillId="5" borderId="0" applyAlignment="1" pivotButton="0" quotePrefix="0" xfId="0">
      <alignment horizontal="right" vertical="center"/>
    </xf>
    <xf numFmtId="164" fontId="7" fillId="5" borderId="0" pivotButton="0" quotePrefix="0" xfId="0"/>
    <xf numFmtId="165" fontId="7" fillId="8" borderId="0" pivotButton="0" quotePrefix="0" xfId="0"/>
    <xf numFmtId="165" fontId="5" fillId="0" borderId="1" pivotButton="0" quotePrefix="0" xfId="0"/>
    <xf numFmtId="0" fontId="0" fillId="5" borderId="1" pivotButton="0" quotePrefix="0" xfId="0"/>
    <xf numFmtId="0" fontId="2" fillId="0" borderId="1" applyAlignment="1" pivotButton="0" quotePrefix="0" xfId="0">
      <alignment horizontal="left" vertical="top" wrapText="1"/>
    </xf>
    <xf numFmtId="165" fontId="7" fillId="0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7" fillId="8" borderId="1" pivotButton="0" quotePrefix="0" xfId="0"/>
    <xf numFmtId="165" fontId="7" fillId="8" borderId="1" pivotButton="0" quotePrefix="0" xfId="0"/>
    <xf numFmtId="0" fontId="7" fillId="8" borderId="1" applyAlignment="1" pivotButton="0" quotePrefix="0" xfId="0">
      <alignment horizontal="left" vertical="top" wrapText="1"/>
    </xf>
    <xf numFmtId="167" fontId="0" fillId="0" borderId="0" pivotButton="0" quotePrefix="0" xfId="0"/>
    <xf numFmtId="168" fontId="0" fillId="0" borderId="1" pivotButton="0" quotePrefix="0" xfId="0"/>
    <xf numFmtId="0" fontId="0" fillId="8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Repartition couts fixes juillet 2026</a:t>
            </a:r>
          </a:p>
        </rich>
      </tx>
    </title>
    <plotArea>
      <pieChart>
        <varyColors val="1"/>
        <ser>
          <idx val="0"/>
          <order val="0"/>
          <tx>
            <strRef>
              <f>'Couts fixes'!B16</f>
            </strRef>
          </tx>
          <spPr>
            <a:ln>
              <a:prstDash val="solid"/>
            </a:ln>
          </spPr>
          <cat>
            <numRef>
              <f>'Couts fixes'!$A$17:$A$23</f>
            </numRef>
          </cat>
          <val>
            <numRef>
              <f>'Couts fixes'!$B$17:$B$23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Depots vs retraits par jour (juillet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'Bilan mensuel'!B15</f>
            </strRef>
          </tx>
          <spPr>
            <a:ln>
              <a:prstDash val="solid"/>
            </a:ln>
          </spPr>
          <cat>
            <numRef>
              <f>'Bilan mensuel'!$A$16:$A$24</f>
            </numRef>
          </cat>
          <val>
            <numRef>
              <f>'Bilan mensuel'!$B$16:$B$24</f>
            </numRef>
          </val>
        </ser>
        <ser>
          <idx val="1"/>
          <order val="1"/>
          <tx>
            <strRef>
              <f>'Bilan mensuel'!C15</f>
            </strRef>
          </tx>
          <spPr>
            <a:ln>
              <a:prstDash val="solid"/>
            </a:ln>
          </spPr>
          <cat>
            <numRef>
              <f>'Bilan mensuel'!$A$16:$A$24</f>
            </numRef>
          </cat>
          <val>
            <numRef>
              <f>'Bilan mensuel'!$C$16:$C$24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Solde cumule des flux (juillet 2026)</a:t>
            </a:r>
          </a:p>
        </rich>
      </tx>
    </title>
    <plotArea>
      <lineChart>
        <grouping val="standard"/>
        <ser>
          <idx val="0"/>
          <order val="0"/>
          <tx>
            <strRef>
              <f>'Bilan mensuel'!B30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'Bilan mensuel'!$A$31:$A$45</f>
            </numRef>
          </cat>
          <val>
            <numRef>
              <f>'Bilan mensuel'!$B$31:$B$45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Solde cumule 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Bankroll projetee sur 12 mois — 3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 break-even'!B16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break-even'!$B$17:$B$28</f>
            </numRef>
          </val>
        </ser>
        <ser>
          <idx val="1"/>
          <order val="1"/>
          <tx>
            <strRef>
              <f>'Projection break-even'!C16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break-even'!$C$17:$C$28</f>
            </numRef>
          </val>
        </ser>
        <ser>
          <idx val="2"/>
          <order val="2"/>
          <tx>
            <strRef>
              <f>'Projection break-even'!D16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break-even'!$D$17:$D$28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Bankroll 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29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BPREDICTION — RAPPORT MENSUEL JUILLET 2026</t>
        </is>
      </c>
    </row>
    <row r="2">
      <c r="A2" s="2" t="inlineStr">
        <is>
          <t>Genere le 2026-07-31 · Devise CAD · Source : bet365 + subscriptions</t>
        </is>
      </c>
    </row>
    <row r="4">
      <c r="A4" s="3" t="inlineStr">
        <is>
          <t>Indicateurs cle juillet 2026</t>
        </is>
      </c>
    </row>
    <row r="5">
      <c r="A5" s="4" t="inlineStr">
        <is>
          <t>Couts fixes payes</t>
        </is>
      </c>
      <c r="C5" s="4" t="inlineStr">
        <is>
          <t>Depots (bet365)</t>
        </is>
      </c>
      <c r="E5" s="4" t="inlineStr">
        <is>
          <t>Retraits (bet365)</t>
        </is>
      </c>
      <c r="G5" s="4" t="inlineStr">
        <is>
          <t>Depots NETS</t>
        </is>
      </c>
    </row>
    <row r="6">
      <c r="A6" s="5" t="n">
        <v>224.13</v>
      </c>
      <c r="C6" s="6" t="n">
        <v>974</v>
      </c>
      <c r="E6" s="6" t="n">
        <v>634.37</v>
      </c>
      <c r="G6" s="7" t="n">
        <v>339.63</v>
      </c>
    </row>
    <row r="8">
      <c r="A8" s="4" t="inlineStr">
        <is>
          <t>Volume paris (12m)</t>
        </is>
      </c>
      <c r="C8" s="4" t="inlineStr">
        <is>
          <t>P&amp;L trading (12m)</t>
        </is>
      </c>
      <c r="E8" s="4" t="inlineStr">
        <is>
          <t>Duree jouee (h)</t>
        </is>
      </c>
      <c r="G8" s="4" t="inlineStr">
        <is>
          <t>Nb transactions</t>
        </is>
      </c>
    </row>
    <row r="9">
      <c r="A9" s="6" t="n">
        <v>3908</v>
      </c>
      <c r="C9" s="8" t="n">
        <v>-109.31</v>
      </c>
      <c r="E9" s="9" t="n">
        <v>19</v>
      </c>
      <c r="G9" s="10" t="n">
        <v>15</v>
      </c>
    </row>
    <row r="12">
      <c r="A12" s="3" t="inlineStr">
        <is>
          <t>Bilan REEL entreprise juillet 2026</t>
        </is>
      </c>
    </row>
    <row r="13">
      <c r="A13" s="4" t="inlineStr">
        <is>
          <t>Couts fixes</t>
        </is>
      </c>
      <c r="C13" s="4" t="inlineStr">
        <is>
          <t>P&amp;L trading</t>
        </is>
      </c>
      <c r="E13" s="4" t="inlineStr">
        <is>
          <t>Perte NETTE mois</t>
        </is>
      </c>
      <c r="G13" s="4" t="inlineStr">
        <is>
          <t>Cash reste au compte</t>
        </is>
      </c>
    </row>
    <row r="14">
      <c r="A14" s="8" t="n">
        <v>-224.13</v>
      </c>
      <c r="C14" s="8" t="n">
        <v>-109.31</v>
      </c>
      <c r="E14" s="8" t="n">
        <v>-333.44</v>
      </c>
      <c r="G14" s="6" t="n">
        <v>230.32</v>
      </c>
    </row>
    <row r="17">
      <c r="A17" s="3" t="inlineStr">
        <is>
          <t>Verdict</t>
        </is>
      </c>
    </row>
    <row r="18" ht="22" customHeight="1">
      <c r="A18" s="11" t="inlineStr">
        <is>
          <t>• PERTE MENSUELLE de 333.44 $ = couts subscriptions (224.13 $) + perte trading (109.31 $).</t>
        </is>
      </c>
    </row>
    <row r="19" ht="22" customHeight="1">
      <c r="A19" s="11" t="inlineStr">
        <is>
          <t>• Volume mise/depots = 4.0x — bon signe de discipline (compounding).</t>
        </is>
      </c>
    </row>
    <row r="20" ht="22" customHeight="1">
      <c r="A20" s="11" t="inlineStr">
        <is>
          <t>• Taux de perte trading = 2.80% sur volume — proche du 'juice' bookmaker (marge).</t>
        </is>
      </c>
    </row>
    <row r="21" ht="22" customHeight="1">
      <c r="A21" s="11" t="inlineStr">
        <is>
          <t>• Sans reduction de couts ou augmentation bankroll, perte annualisee estimee : -4001 $/an.</t>
        </is>
      </c>
    </row>
    <row r="22" ht="22" customHeight="1">
      <c r="A22" s="11" t="inlineStr">
        <is>
          <t>• Action prioritaire : couper ChatGPT (-28.73 $/mois) + verifier TheSportsDB free tier.</t>
        </is>
      </c>
    </row>
  </sheetData>
  <mergeCells count="34">
    <mergeCell ref="C6:D6"/>
    <mergeCell ref="C5:D5"/>
    <mergeCell ref="E5:F5"/>
    <mergeCell ref="C14:D14"/>
    <mergeCell ref="E14:F14"/>
    <mergeCell ref="A1:H1"/>
    <mergeCell ref="G8:H8"/>
    <mergeCell ref="E8:F8"/>
    <mergeCell ref="A6:B6"/>
    <mergeCell ref="E13:F13"/>
    <mergeCell ref="G6:H6"/>
    <mergeCell ref="C9:D9"/>
    <mergeCell ref="G13:H13"/>
    <mergeCell ref="E9:F9"/>
    <mergeCell ref="A12:H12"/>
    <mergeCell ref="A18:H18"/>
    <mergeCell ref="E6:F6"/>
    <mergeCell ref="A21:H21"/>
    <mergeCell ref="A2:H2"/>
    <mergeCell ref="A5:B5"/>
    <mergeCell ref="G5:H5"/>
    <mergeCell ref="A14:B14"/>
    <mergeCell ref="G14:H14"/>
    <mergeCell ref="A8:B8"/>
    <mergeCell ref="C8:D8"/>
    <mergeCell ref="A22:H22"/>
    <mergeCell ref="A17:H17"/>
    <mergeCell ref="A4:H4"/>
    <mergeCell ref="A20:H20"/>
    <mergeCell ref="A13:B13"/>
    <mergeCell ref="A19:H19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6" customWidth="1" min="4" max="4"/>
    <col width="20" customWidth="1" min="5" max="5"/>
  </cols>
  <sheetData>
    <row r="1" ht="32" customHeight="1">
      <c r="A1" s="1" t="inlineStr">
        <is>
          <t>Subscriptions &amp; couts fixes juillet 2026</t>
        </is>
      </c>
    </row>
    <row r="3">
      <c r="A3" s="12" t="inlineStr">
        <is>
          <t>Date</t>
        </is>
      </c>
      <c r="B3" s="12" t="inlineStr">
        <is>
          <t>Service</t>
        </is>
      </c>
      <c r="C3" s="12" t="inlineStr">
        <is>
          <t>Categorie</t>
        </is>
      </c>
      <c r="D3" s="12" t="inlineStr">
        <is>
          <t>Montant CAD</t>
        </is>
      </c>
      <c r="E3" s="12" t="inlineStr">
        <is>
          <t>Impact annualise</t>
        </is>
      </c>
    </row>
    <row r="4">
      <c r="A4" s="13" t="n">
        <v>46205</v>
      </c>
      <c r="B4" s="14" t="inlineStr">
        <is>
          <t>TheSportsDB</t>
        </is>
      </c>
      <c r="C4" s="15" t="inlineStr">
        <is>
          <t>Data — historique sport</t>
        </is>
      </c>
      <c r="D4" s="16" t="n">
        <v>16.79</v>
      </c>
      <c r="E4" s="17" t="n">
        <v>201.48</v>
      </c>
    </row>
    <row r="5">
      <c r="A5" s="18" t="n">
        <v>46212</v>
      </c>
      <c r="B5" s="19" t="inlineStr">
        <is>
          <t>DataGolf (Scratch Plus)</t>
        </is>
      </c>
      <c r="C5" s="20" t="inlineStr">
        <is>
          <t>Data — modele golf</t>
        </is>
      </c>
      <c r="D5" s="21" t="n">
        <v>44.19</v>
      </c>
      <c r="E5" s="22" t="n">
        <v>530.28</v>
      </c>
    </row>
    <row r="6">
      <c r="A6" s="13" t="n">
        <v>46212</v>
      </c>
      <c r="B6" s="14" t="inlineStr">
        <is>
          <t>The Odds API</t>
        </is>
      </c>
      <c r="C6" s="15" t="inlineStr">
        <is>
          <t>Data — cotes multi-books</t>
        </is>
      </c>
      <c r="D6" s="16" t="n">
        <v>44.19</v>
      </c>
      <c r="E6" s="17" t="n">
        <v>530.28</v>
      </c>
    </row>
    <row r="7">
      <c r="A7" s="18" t="n">
        <v>46212</v>
      </c>
      <c r="B7" s="19" t="inlineStr">
        <is>
          <t>API-Football</t>
        </is>
      </c>
      <c r="C7" s="20" t="inlineStr">
        <is>
          <t>Data — lineups foot</t>
        </is>
      </c>
      <c r="D7" s="21" t="n">
        <v>27.01</v>
      </c>
      <c r="E7" s="22" t="n">
        <v>324.12</v>
      </c>
    </row>
    <row r="8">
      <c r="A8" s="13" t="n">
        <v>46213</v>
      </c>
      <c r="B8" s="14" t="inlineStr">
        <is>
          <t>ChatGPT</t>
        </is>
      </c>
      <c r="C8" s="15" t="inlineStr">
        <is>
          <t>Outil dev / analyse</t>
        </is>
      </c>
      <c r="D8" s="16" t="n">
        <v>28.73</v>
      </c>
      <c r="E8" s="17" t="n">
        <v>344.76</v>
      </c>
    </row>
    <row r="9">
      <c r="A9" s="18" t="n">
        <v>46215</v>
      </c>
      <c r="B9" s="19" t="inlineStr">
        <is>
          <t>Google Workspace</t>
        </is>
      </c>
      <c r="C9" s="20" t="inlineStr">
        <is>
          <t>Communication / email</t>
        </is>
      </c>
      <c r="D9" s="21" t="n">
        <v>31.03</v>
      </c>
      <c r="E9" s="22" t="n">
        <v>372.36</v>
      </c>
    </row>
    <row r="10">
      <c r="A10" s="13" t="n">
        <v>46223</v>
      </c>
      <c r="B10" s="14" t="inlineStr">
        <is>
          <t>Claude (Anthropic)</t>
        </is>
      </c>
      <c r="C10" s="15" t="inlineStr">
        <is>
          <t>Outil dev / analyse</t>
        </is>
      </c>
      <c r="D10" s="16" t="n">
        <v>32.19</v>
      </c>
      <c r="E10" s="17" t="n">
        <v>386.28</v>
      </c>
    </row>
    <row r="11">
      <c r="A11" s="23" t="inlineStr">
        <is>
          <t>TOTAL</t>
        </is>
      </c>
      <c r="D11" s="24" t="n">
        <v>224.13</v>
      </c>
      <c r="E11" s="24" t="n">
        <v>2689.559999999999</v>
      </c>
    </row>
    <row r="14">
      <c r="A14" s="25" t="inlineStr">
        <is>
          <t>Repartition par service</t>
        </is>
      </c>
    </row>
    <row r="16">
      <c r="A16" s="26" t="inlineStr">
        <is>
          <t>Service</t>
        </is>
      </c>
      <c r="B16" s="26" t="inlineStr">
        <is>
          <t>Montant</t>
        </is>
      </c>
    </row>
    <row r="17">
      <c r="A17" t="inlineStr">
        <is>
          <t>TheSportsDB</t>
        </is>
      </c>
      <c r="B17" s="27" t="n">
        <v>16.79</v>
      </c>
    </row>
    <row r="18">
      <c r="A18" t="inlineStr">
        <is>
          <t>DataGolf (Scratch Plus)</t>
        </is>
      </c>
      <c r="B18" s="27" t="n">
        <v>44.19</v>
      </c>
    </row>
    <row r="19">
      <c r="A19" t="inlineStr">
        <is>
          <t>The Odds API</t>
        </is>
      </c>
      <c r="B19" s="27" t="n">
        <v>44.19</v>
      </c>
    </row>
    <row r="20">
      <c r="A20" t="inlineStr">
        <is>
          <t>API-Football</t>
        </is>
      </c>
      <c r="B20" s="27" t="n">
        <v>27.01</v>
      </c>
    </row>
    <row r="21">
      <c r="A21" t="inlineStr">
        <is>
          <t>ChatGPT</t>
        </is>
      </c>
      <c r="B21" s="27" t="n">
        <v>28.73</v>
      </c>
    </row>
    <row r="22">
      <c r="A22" t="inlineStr">
        <is>
          <t>Google Workspace</t>
        </is>
      </c>
      <c r="B22" s="27" t="n">
        <v>31.03</v>
      </c>
    </row>
    <row r="23">
      <c r="A23" t="inlineStr">
        <is>
          <t>Claude (Anthropic)</t>
        </is>
      </c>
      <c r="B23" s="27" t="n">
        <v>32.19</v>
      </c>
    </row>
  </sheetData>
  <mergeCells count="2">
    <mergeCell ref="A1:E1"/>
    <mergeCell ref="A11:C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4" customWidth="1" min="4" max="4"/>
    <col width="16" customWidth="1" min="5" max="5"/>
    <col width="18" customWidth="1" min="6" max="6"/>
  </cols>
  <sheetData>
    <row r="1" ht="32" customHeight="1">
      <c r="A1" s="1" t="inlineStr">
        <is>
          <t>Depots et retraits bet365 — juillet 2026</t>
        </is>
      </c>
    </row>
    <row r="3">
      <c r="A3" s="28" t="inlineStr">
        <is>
          <t>DEPOTS</t>
        </is>
      </c>
    </row>
    <row r="4">
      <c r="A4" s="12" t="inlineStr">
        <is>
          <t>Date</t>
        </is>
      </c>
      <c r="B4" s="12" t="inlineStr">
        <is>
          <t>Heure</t>
        </is>
      </c>
      <c r="C4" s="12" t="inlineStr">
        <is>
          <t>Reference</t>
        </is>
      </c>
      <c r="D4" s="12" t="inlineStr">
        <is>
          <t>Canal</t>
        </is>
      </c>
      <c r="E4" s="12" t="inlineStr">
        <is>
          <t>Montant CAD</t>
        </is>
      </c>
      <c r="F4" s="12" t="inlineStr">
        <is>
          <t>Cumul</t>
        </is>
      </c>
    </row>
    <row r="5">
      <c r="A5" s="18" t="n">
        <v>46204</v>
      </c>
      <c r="B5" s="29" t="inlineStr">
        <is>
          <t>22:49</t>
        </is>
      </c>
      <c r="C5" s="20" t="inlineStr">
        <is>
          <t>D6123771934IP</t>
        </is>
      </c>
      <c r="D5" s="29" t="inlineStr">
        <is>
          <t>INTERAC</t>
        </is>
      </c>
      <c r="E5" s="30" t="n">
        <v>10</v>
      </c>
      <c r="F5" s="22" t="n">
        <v>10</v>
      </c>
    </row>
    <row r="6">
      <c r="A6" s="13" t="n">
        <v>46207</v>
      </c>
      <c r="B6" s="31" t="inlineStr">
        <is>
          <t>15:13</t>
        </is>
      </c>
      <c r="C6" s="15" t="inlineStr">
        <is>
          <t>D6128376520IP</t>
        </is>
      </c>
      <c r="D6" s="31" t="inlineStr">
        <is>
          <t>INTERAC</t>
        </is>
      </c>
      <c r="E6" s="32" t="n">
        <v>10</v>
      </c>
      <c r="F6" s="17" t="n">
        <v>20</v>
      </c>
    </row>
    <row r="7">
      <c r="A7" s="18" t="n">
        <v>46211</v>
      </c>
      <c r="B7" s="29" t="inlineStr">
        <is>
          <t>13:23</t>
        </is>
      </c>
      <c r="C7" s="20" t="inlineStr">
        <is>
          <t>D6134578502IP</t>
        </is>
      </c>
      <c r="D7" s="29" t="inlineStr">
        <is>
          <t>INTERAC</t>
        </is>
      </c>
      <c r="E7" s="30" t="n">
        <v>10</v>
      </c>
      <c r="F7" s="22" t="n">
        <v>30</v>
      </c>
    </row>
    <row r="8">
      <c r="A8" s="13" t="n">
        <v>46213</v>
      </c>
      <c r="B8" s="31" t="inlineStr">
        <is>
          <t>20:43</t>
        </is>
      </c>
      <c r="C8" s="15" t="inlineStr">
        <is>
          <t>D6138291434IP</t>
        </is>
      </c>
      <c r="D8" s="31" t="inlineStr">
        <is>
          <t>INTERAC</t>
        </is>
      </c>
      <c r="E8" s="32" t="n">
        <v>250</v>
      </c>
      <c r="F8" s="17" t="n">
        <v>280</v>
      </c>
    </row>
    <row r="9">
      <c r="A9" s="18" t="n">
        <v>46214</v>
      </c>
      <c r="B9" s="29" t="inlineStr">
        <is>
          <t>00:44</t>
        </is>
      </c>
      <c r="C9" s="20" t="inlineStr">
        <is>
          <t>D6138380475IP</t>
        </is>
      </c>
      <c r="D9" s="29" t="inlineStr">
        <is>
          <t>INTERAC</t>
        </is>
      </c>
      <c r="E9" s="30" t="n">
        <v>80</v>
      </c>
      <c r="F9" s="22" t="n">
        <v>360</v>
      </c>
    </row>
    <row r="10">
      <c r="A10" s="13" t="n">
        <v>46216</v>
      </c>
      <c r="B10" s="31" t="inlineStr">
        <is>
          <t>18:20</t>
        </is>
      </c>
      <c r="C10" s="15" t="inlineStr">
        <is>
          <t>D6142185970IP</t>
        </is>
      </c>
      <c r="D10" s="31" t="inlineStr">
        <is>
          <t>INTERAC</t>
        </is>
      </c>
      <c r="E10" s="32" t="n">
        <v>59</v>
      </c>
      <c r="F10" s="17" t="n">
        <v>419</v>
      </c>
    </row>
    <row r="11">
      <c r="A11" s="18" t="n">
        <v>46218</v>
      </c>
      <c r="B11" s="29" t="inlineStr">
        <is>
          <t>09:40</t>
        </is>
      </c>
      <c r="C11" s="20" t="inlineStr">
        <is>
          <t>D6144521821IP</t>
        </is>
      </c>
      <c r="D11" s="29" t="inlineStr">
        <is>
          <t>INTERAC</t>
        </is>
      </c>
      <c r="E11" s="30" t="n">
        <v>50</v>
      </c>
      <c r="F11" s="22" t="n">
        <v>469</v>
      </c>
    </row>
    <row r="12">
      <c r="A12" s="13" t="n">
        <v>46221</v>
      </c>
      <c r="B12" s="31" t="inlineStr">
        <is>
          <t>17:28</t>
        </is>
      </c>
      <c r="C12" s="15" t="inlineStr">
        <is>
          <t>D6149206434IP</t>
        </is>
      </c>
      <c r="D12" s="31" t="inlineStr">
        <is>
          <t>INTERAC</t>
        </is>
      </c>
      <c r="E12" s="32" t="n">
        <v>300</v>
      </c>
      <c r="F12" s="17" t="n">
        <v>769</v>
      </c>
    </row>
    <row r="13">
      <c r="A13" s="18" t="n">
        <v>46223</v>
      </c>
      <c r="B13" s="29" t="inlineStr">
        <is>
          <t>07:43</t>
        </is>
      </c>
      <c r="C13" s="20" t="inlineStr">
        <is>
          <t>D6151956097IP</t>
        </is>
      </c>
      <c r="D13" s="29" t="inlineStr">
        <is>
          <t>INTERAC</t>
        </is>
      </c>
      <c r="E13" s="30" t="n">
        <v>20</v>
      </c>
      <c r="F13" s="22" t="n">
        <v>789</v>
      </c>
    </row>
    <row r="14">
      <c r="A14" s="13" t="n">
        <v>46223</v>
      </c>
      <c r="B14" s="31" t="inlineStr">
        <is>
          <t>07:48</t>
        </is>
      </c>
      <c r="C14" s="15" t="inlineStr">
        <is>
          <t>D6151958512IP</t>
        </is>
      </c>
      <c r="D14" s="31" t="inlineStr">
        <is>
          <t>INTERAC</t>
        </is>
      </c>
      <c r="E14" s="32" t="n">
        <v>185</v>
      </c>
      <c r="F14" s="17" t="n">
        <v>974</v>
      </c>
    </row>
    <row r="15">
      <c r="A15" s="33" t="inlineStr">
        <is>
          <t>TOTAL DEPOTS</t>
        </is>
      </c>
      <c r="E15" s="34" t="n">
        <v>974</v>
      </c>
    </row>
    <row r="18">
      <c r="A18" s="35" t="inlineStr">
        <is>
          <t>RETRAITS</t>
        </is>
      </c>
    </row>
    <row r="19">
      <c r="A19" s="12" t="inlineStr">
        <is>
          <t>Date</t>
        </is>
      </c>
      <c r="B19" s="12" t="inlineStr">
        <is>
          <t>Heure</t>
        </is>
      </c>
      <c r="C19" s="12" t="inlineStr">
        <is>
          <t>Reference</t>
        </is>
      </c>
      <c r="D19" s="12" t="inlineStr">
        <is>
          <t>Statut</t>
        </is>
      </c>
      <c r="E19" s="12" t="inlineStr">
        <is>
          <t>Montant CAD</t>
        </is>
      </c>
      <c r="F19" s="12" t="inlineStr">
        <is>
          <t>Cumul effectifs</t>
        </is>
      </c>
    </row>
    <row r="20">
      <c r="A20" s="13" t="n">
        <v>46214</v>
      </c>
      <c r="B20" s="31" t="inlineStr">
        <is>
          <t>12:08</t>
        </is>
      </c>
      <c r="C20" s="15" t="inlineStr">
        <is>
          <t>W745839570IN</t>
        </is>
      </c>
      <c r="D20" s="31" t="inlineStr">
        <is>
          <t>Effectue</t>
        </is>
      </c>
      <c r="E20" s="32" t="n">
        <v>30</v>
      </c>
      <c r="F20" s="17" t="n">
        <v>30</v>
      </c>
    </row>
    <row r="21">
      <c r="A21" s="36" t="n">
        <v>46214</v>
      </c>
      <c r="B21" s="37" t="inlineStr">
        <is>
          <t>12:16</t>
        </is>
      </c>
      <c r="C21" s="37" t="inlineStr">
        <is>
          <t>745839570</t>
        </is>
      </c>
      <c r="D21" s="37" t="inlineStr">
        <is>
          <t>Annule</t>
        </is>
      </c>
      <c r="E21" s="38" t="n">
        <v>30</v>
      </c>
      <c r="F21" s="20" t="inlineStr">
        <is>
          <t>-</t>
        </is>
      </c>
    </row>
    <row r="22">
      <c r="A22" s="13" t="n">
        <v>46216</v>
      </c>
      <c r="B22" s="31" t="inlineStr">
        <is>
          <t>08:12</t>
        </is>
      </c>
      <c r="C22" s="15" t="inlineStr">
        <is>
          <t>W746292820IN</t>
        </is>
      </c>
      <c r="D22" s="31" t="inlineStr">
        <is>
          <t>Effectue</t>
        </is>
      </c>
      <c r="E22" s="32" t="n">
        <v>59.37</v>
      </c>
      <c r="F22" s="17" t="n">
        <v>89.37</v>
      </c>
    </row>
    <row r="23">
      <c r="A23" s="18" t="n">
        <v>46216</v>
      </c>
      <c r="B23" s="29" t="inlineStr">
        <is>
          <t>19:37</t>
        </is>
      </c>
      <c r="C23" s="20" t="inlineStr">
        <is>
          <t>W746385182IN</t>
        </is>
      </c>
      <c r="D23" s="29" t="inlineStr">
        <is>
          <t>Effectue</t>
        </is>
      </c>
      <c r="E23" s="30" t="n">
        <v>70</v>
      </c>
      <c r="F23" s="22" t="n">
        <v>159.37</v>
      </c>
    </row>
    <row r="24">
      <c r="A24" s="13" t="n">
        <v>46221</v>
      </c>
      <c r="B24" s="31" t="inlineStr">
        <is>
          <t>16:33</t>
        </is>
      </c>
      <c r="C24" s="15" t="inlineStr">
        <is>
          <t>W747250409IN</t>
        </is>
      </c>
      <c r="D24" s="31" t="inlineStr">
        <is>
          <t>Effectue</t>
        </is>
      </c>
      <c r="E24" s="32" t="n">
        <v>25</v>
      </c>
      <c r="F24" s="17" t="n">
        <v>184.37</v>
      </c>
    </row>
    <row r="25">
      <c r="A25" s="18" t="n">
        <v>46221</v>
      </c>
      <c r="B25" s="29" t="inlineStr">
        <is>
          <t>17:55</t>
        </is>
      </c>
      <c r="C25" s="20" t="inlineStr">
        <is>
          <t>W747272005IN</t>
        </is>
      </c>
      <c r="D25" s="29" t="inlineStr">
        <is>
          <t>Effectue</t>
        </is>
      </c>
      <c r="E25" s="30" t="n">
        <v>450</v>
      </c>
      <c r="F25" s="22" t="n">
        <v>634.37</v>
      </c>
    </row>
    <row r="26">
      <c r="A26" s="39" t="inlineStr">
        <is>
          <t>TOTAL RETRAITS EFFECTUES</t>
        </is>
      </c>
      <c r="E26" s="40" t="n">
        <v>634.37</v>
      </c>
    </row>
    <row r="28">
      <c r="A28" s="23" t="inlineStr">
        <is>
          <t>DEPOTS NETS (depots - retraits)</t>
        </is>
      </c>
      <c r="E28" s="41" t="n">
        <v>339.63</v>
      </c>
    </row>
  </sheetData>
  <mergeCells count="6">
    <mergeCell ref="A1:F1"/>
    <mergeCell ref="A26:D26"/>
    <mergeCell ref="A15:D15"/>
    <mergeCell ref="A18:F18"/>
    <mergeCell ref="A3:F3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40" customWidth="1" min="4" max="4"/>
  </cols>
  <sheetData>
    <row r="1" ht="32" customHeight="1">
      <c r="A1" s="1" t="inlineStr">
        <is>
          <t>Bilan mensuel — juillet 2026</t>
        </is>
      </c>
    </row>
    <row r="3">
      <c r="A3" s="12" t="inlineStr">
        <is>
          <t>Poste</t>
        </is>
      </c>
      <c r="B3" s="12" t="inlineStr">
        <is>
          <t>Montant CAD</t>
        </is>
      </c>
      <c r="C3" s="12" t="inlineStr">
        <is>
          <t>Signal</t>
        </is>
      </c>
      <c r="D3" s="12" t="inlineStr">
        <is>
          <t>Commentaire</t>
        </is>
      </c>
    </row>
    <row r="4">
      <c r="A4" s="19" t="inlineStr">
        <is>
          <t>Depots bet365</t>
        </is>
      </c>
      <c r="B4" s="42" t="n">
        <v>974</v>
      </c>
      <c r="C4" s="43" t="inlineStr"/>
      <c r="D4" s="44" t="inlineStr">
        <is>
          <t>Argent injecte dans la bankroll</t>
        </is>
      </c>
    </row>
    <row r="5">
      <c r="A5" s="19" t="inlineStr">
        <is>
          <t>Retraits bet365</t>
        </is>
      </c>
      <c r="B5" s="42" t="n">
        <v>-634.37</v>
      </c>
      <c r="C5" s="43" t="inlineStr"/>
      <c r="D5" s="44" t="inlineStr">
        <is>
          <t>Argent recupere du compte</t>
        </is>
      </c>
    </row>
    <row r="6">
      <c r="A6" s="19" t="inlineStr">
        <is>
          <t>Depots NETS</t>
        </is>
      </c>
      <c r="B6" s="45" t="n">
        <v>339.63</v>
      </c>
      <c r="C6" s="46" t="inlineStr"/>
      <c r="D6" s="44" t="inlineStr">
        <is>
          <t>Injection nette de la periode</t>
        </is>
      </c>
    </row>
    <row r="7">
      <c r="A7" s="19" t="inlineStr">
        <is>
          <t>P&amp;L trading</t>
        </is>
      </c>
      <c r="B7" s="42" t="n">
        <v>-109.31</v>
      </c>
      <c r="C7" s="47" t="inlineStr"/>
      <c r="D7" s="44" t="inlineStr">
        <is>
          <t>Gains - mises sur 12 mois (surtout juillet)</t>
        </is>
      </c>
    </row>
    <row r="8">
      <c r="A8" s="19" t="inlineStr">
        <is>
          <t>Couts subscriptions</t>
        </is>
      </c>
      <c r="B8" s="42" t="n">
        <v>-224.13</v>
      </c>
      <c r="C8" s="47" t="inlineStr"/>
      <c r="D8" s="44" t="inlineStr">
        <is>
          <t>Data + infra + outils AI</t>
        </is>
      </c>
    </row>
    <row r="9">
      <c r="A9" s="48" t="inlineStr">
        <is>
          <t>PERTE NETTE mois</t>
        </is>
      </c>
      <c r="B9" s="49" t="n">
        <v>-333.44</v>
      </c>
      <c r="C9" s="48" t="inlineStr"/>
      <c r="D9" s="50" t="inlineStr">
        <is>
          <t>P&amp;L trading - couts fixes</t>
        </is>
      </c>
    </row>
    <row r="13">
      <c r="A13" s="25" t="inlineStr">
        <is>
          <t>Flux journalier depots vs retraits</t>
        </is>
      </c>
    </row>
    <row r="15">
      <c r="A15" s="26" t="inlineStr">
        <is>
          <t>Date</t>
        </is>
      </c>
      <c r="B15" s="26" t="inlineStr">
        <is>
          <t>Depots</t>
        </is>
      </c>
      <c r="C15" s="26" t="inlineStr">
        <is>
          <t>Retraits</t>
        </is>
      </c>
    </row>
    <row r="16">
      <c r="A16" s="51" t="n">
        <v>46204</v>
      </c>
      <c r="B16" s="27" t="n">
        <v>10</v>
      </c>
      <c r="C16" s="27" t="n">
        <v>0</v>
      </c>
    </row>
    <row r="17">
      <c r="A17" s="51" t="n">
        <v>46207</v>
      </c>
      <c r="B17" s="27" t="n">
        <v>10</v>
      </c>
      <c r="C17" s="27" t="n">
        <v>0</v>
      </c>
    </row>
    <row r="18">
      <c r="A18" s="51" t="n">
        <v>46211</v>
      </c>
      <c r="B18" s="27" t="n">
        <v>10</v>
      </c>
      <c r="C18" s="27" t="n">
        <v>0</v>
      </c>
    </row>
    <row r="19">
      <c r="A19" s="51" t="n">
        <v>46213</v>
      </c>
      <c r="B19" s="27" t="n">
        <v>250</v>
      </c>
      <c r="C19" s="27" t="n">
        <v>0</v>
      </c>
    </row>
    <row r="20">
      <c r="A20" s="51" t="n">
        <v>46214</v>
      </c>
      <c r="B20" s="27" t="n">
        <v>80</v>
      </c>
      <c r="C20" s="27" t="n">
        <v>30</v>
      </c>
    </row>
    <row r="21">
      <c r="A21" s="51" t="n">
        <v>46216</v>
      </c>
      <c r="B21" s="27" t="n">
        <v>59</v>
      </c>
      <c r="C21" s="27" t="n">
        <v>129.37</v>
      </c>
    </row>
    <row r="22">
      <c r="A22" s="51" t="n">
        <v>46218</v>
      </c>
      <c r="B22" s="27" t="n">
        <v>50</v>
      </c>
      <c r="C22" s="27" t="n">
        <v>0</v>
      </c>
    </row>
    <row r="23">
      <c r="A23" s="51" t="n">
        <v>46221</v>
      </c>
      <c r="B23" s="27" t="n">
        <v>300</v>
      </c>
      <c r="C23" s="27" t="n">
        <v>475</v>
      </c>
    </row>
    <row r="24">
      <c r="A24" s="51" t="n">
        <v>46223</v>
      </c>
      <c r="B24" s="27" t="n">
        <v>205</v>
      </c>
      <c r="C24" s="27" t="n">
        <v>0</v>
      </c>
    </row>
    <row r="28">
      <c r="A28" s="25" t="inlineStr">
        <is>
          <t>Solde cumule (approx.)</t>
        </is>
      </c>
    </row>
    <row r="30">
      <c r="A30" s="26" t="inlineStr">
        <is>
          <t>Date</t>
        </is>
      </c>
      <c r="B30" s="26" t="inlineStr">
        <is>
          <t>Solde cumule</t>
        </is>
      </c>
    </row>
    <row r="31">
      <c r="A31" s="51" t="n">
        <v>46204</v>
      </c>
      <c r="B31" s="27" t="n">
        <v>10</v>
      </c>
    </row>
    <row r="32">
      <c r="A32" s="51" t="n">
        <v>46207</v>
      </c>
      <c r="B32" s="27" t="n">
        <v>20</v>
      </c>
    </row>
    <row r="33">
      <c r="A33" s="51" t="n">
        <v>46211</v>
      </c>
      <c r="B33" s="27" t="n">
        <v>30</v>
      </c>
    </row>
    <row r="34">
      <c r="A34" s="51" t="n">
        <v>46213</v>
      </c>
      <c r="B34" s="27" t="n">
        <v>280</v>
      </c>
    </row>
    <row r="35">
      <c r="A35" s="51" t="n">
        <v>46214</v>
      </c>
      <c r="B35" s="27" t="n">
        <v>250</v>
      </c>
    </row>
    <row r="36">
      <c r="A36" s="51" t="n">
        <v>46214</v>
      </c>
      <c r="B36" s="27" t="n">
        <v>330</v>
      </c>
    </row>
    <row r="37">
      <c r="A37" s="51" t="n">
        <v>46216</v>
      </c>
      <c r="B37" s="27" t="n">
        <v>260</v>
      </c>
    </row>
    <row r="38">
      <c r="A38" s="51" t="n">
        <v>46216</v>
      </c>
      <c r="B38" s="27" t="n">
        <v>200.63</v>
      </c>
    </row>
    <row r="39">
      <c r="A39" s="51" t="n">
        <v>46216</v>
      </c>
      <c r="B39" s="27" t="n">
        <v>259.63</v>
      </c>
    </row>
    <row r="40">
      <c r="A40" s="51" t="n">
        <v>46218</v>
      </c>
      <c r="B40" s="27" t="n">
        <v>309.63</v>
      </c>
    </row>
    <row r="41">
      <c r="A41" s="51" t="n">
        <v>46221</v>
      </c>
      <c r="B41" s="27" t="n">
        <v>-140.37</v>
      </c>
    </row>
    <row r="42">
      <c r="A42" s="51" t="n">
        <v>46221</v>
      </c>
      <c r="B42" s="27" t="n">
        <v>-165.37</v>
      </c>
    </row>
    <row r="43">
      <c r="A43" s="51" t="n">
        <v>46221</v>
      </c>
      <c r="B43" s="27" t="n">
        <v>134.63</v>
      </c>
    </row>
    <row r="44">
      <c r="A44" s="51" t="n">
        <v>46223</v>
      </c>
      <c r="B44" s="27" t="n">
        <v>154.63</v>
      </c>
    </row>
    <row r="45">
      <c r="A45" s="51" t="n">
        <v>46223</v>
      </c>
      <c r="B45" s="27" t="n">
        <v>339.63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</cols>
  <sheetData>
    <row r="1" ht="32" customHeight="1">
      <c r="A1" s="1" t="inlineStr">
        <is>
          <t>Projection break-even &amp; scenarios 12 mois</t>
        </is>
      </c>
    </row>
    <row r="3">
      <c r="A3" s="25" t="inlineStr">
        <is>
          <t>Cout fixe mensuel : 224.13 $ CAD</t>
        </is>
      </c>
    </row>
    <row r="5">
      <c r="A5" s="25" t="inlineStr">
        <is>
          <t>Break-even : ROI mensuel requis par taille de bankroll</t>
        </is>
      </c>
    </row>
    <row r="6">
      <c r="A6" s="12" t="inlineStr">
        <is>
          <t>Bankroll CAD</t>
        </is>
      </c>
      <c r="B6" s="12" t="inlineStr">
        <is>
          <t>ROI mensuel requis</t>
        </is>
      </c>
      <c r="C6" s="12" t="inlineStr">
        <is>
          <t>Verdict</t>
        </is>
      </c>
    </row>
    <row r="7">
      <c r="A7" s="30" t="n">
        <v>2000</v>
      </c>
      <c r="B7" s="52" t="n">
        <v>0.112065</v>
      </c>
      <c r="C7" s="47" t="inlineStr">
        <is>
          <t>Irrealiste</t>
        </is>
      </c>
    </row>
    <row r="8">
      <c r="A8" s="30" t="n">
        <v>3500</v>
      </c>
      <c r="B8" s="52" t="n">
        <v>0.06403714285714286</v>
      </c>
      <c r="C8" s="47" t="inlineStr">
        <is>
          <t>Tres difficile</t>
        </is>
      </c>
    </row>
    <row r="9">
      <c r="A9" s="30" t="n">
        <v>5000</v>
      </c>
      <c r="B9" s="52" t="n">
        <v>0.044826</v>
      </c>
      <c r="C9" s="53" t="inlineStr">
        <is>
          <t>Atteignable si edge prouve</t>
        </is>
      </c>
    </row>
    <row r="10">
      <c r="A10" s="30" t="n">
        <v>8000</v>
      </c>
      <c r="B10" s="52" t="n">
        <v>0.02801625</v>
      </c>
      <c r="C10" s="46" t="inlineStr">
        <is>
          <t>Confortable pour un sharp</t>
        </is>
      </c>
    </row>
    <row r="11">
      <c r="A11" s="30" t="n">
        <v>15000</v>
      </c>
      <c r="B11" s="52" t="n">
        <v>0.014942</v>
      </c>
      <c r="C11" s="46" t="inlineStr">
        <is>
          <t>Facile</t>
        </is>
      </c>
    </row>
    <row r="12">
      <c r="A12" s="30" t="n">
        <v>30000</v>
      </c>
      <c r="B12" s="52" t="n">
        <v>0.007471</v>
      </c>
      <c r="C12" s="46" t="inlineStr">
        <is>
          <t>Marge confortable</t>
        </is>
      </c>
    </row>
    <row r="15">
      <c r="A15" s="25" t="inlineStr">
        <is>
          <t>Scenarios 12 mois — bankroll depart 2 000 $</t>
        </is>
      </c>
    </row>
    <row r="16">
      <c r="A16" s="12" t="inlineStr">
        <is>
          <t>Mois</t>
        </is>
      </c>
      <c r="B16" s="12" t="inlineStr">
        <is>
          <t>Sans injection</t>
        </is>
      </c>
      <c r="C16" s="12" t="inlineStr">
        <is>
          <t>Injection 500$/mois</t>
        </is>
      </c>
      <c r="D16" s="12" t="inlineStr">
        <is>
          <t>Injection + coupes</t>
        </is>
      </c>
    </row>
    <row r="17">
      <c r="A17" s="29" t="inlineStr">
        <is>
          <t>M1</t>
        </is>
      </c>
      <c r="B17" s="30" t="n">
        <v>1855.87</v>
      </c>
      <c r="C17" s="30" t="n">
        <v>2355.87</v>
      </c>
      <c r="D17" s="30" t="n">
        <v>2384.6</v>
      </c>
    </row>
    <row r="18">
      <c r="A18" s="31" t="inlineStr">
        <is>
          <t>M2</t>
        </is>
      </c>
      <c r="B18" s="32" t="n">
        <v>1705.9748</v>
      </c>
      <c r="C18" s="32" t="n">
        <v>2725.9748</v>
      </c>
      <c r="D18" s="32" t="n">
        <v>2784.584</v>
      </c>
    </row>
    <row r="19">
      <c r="A19" s="29" t="inlineStr">
        <is>
          <t>M3</t>
        </is>
      </c>
      <c r="B19" s="30" t="n">
        <v>1550.083792</v>
      </c>
      <c r="C19" s="30" t="n">
        <v>3110.883792</v>
      </c>
      <c r="D19" s="30" t="n">
        <v>3200.56736</v>
      </c>
    </row>
    <row r="20">
      <c r="A20" s="31" t="inlineStr">
        <is>
          <t>M4</t>
        </is>
      </c>
      <c r="B20" s="32" t="n">
        <v>1387.95714368</v>
      </c>
      <c r="C20" s="32" t="n">
        <v>3511.18914368</v>
      </c>
      <c r="D20" s="32" t="n">
        <v>3633.1900544</v>
      </c>
    </row>
    <row r="21">
      <c r="A21" s="29" t="inlineStr">
        <is>
          <t>M5</t>
        </is>
      </c>
      <c r="B21" s="30" t="n">
        <v>1219.3454294272</v>
      </c>
      <c r="C21" s="30" t="n">
        <v>3927.5067094272</v>
      </c>
      <c r="D21" s="30" t="n">
        <v>4083.117656576</v>
      </c>
    </row>
    <row r="22">
      <c r="A22" s="31" t="inlineStr">
        <is>
          <t>M6</t>
        </is>
      </c>
      <c r="B22" s="32" t="n">
        <v>1043.989246604288</v>
      </c>
      <c r="C22" s="32" t="n">
        <v>4360.476977804288</v>
      </c>
      <c r="D22" s="32" t="n">
        <v>4551.04236283904</v>
      </c>
    </row>
    <row r="23">
      <c r="A23" s="29" t="inlineStr">
        <is>
          <t>M7</t>
        </is>
      </c>
      <c r="B23" s="30" t="n">
        <v>861.6188164684594</v>
      </c>
      <c r="C23" s="30" t="n">
        <v>4810.76605691646</v>
      </c>
      <c r="D23" s="30" t="n">
        <v>5037.684057352602</v>
      </c>
    </row>
    <row r="24">
      <c r="A24" s="31" t="inlineStr">
        <is>
          <t>M8</t>
        </is>
      </c>
      <c r="B24" s="32" t="n">
        <v>671.9535691271979</v>
      </c>
      <c r="C24" s="32" t="n">
        <v>5279.066699193118</v>
      </c>
      <c r="D24" s="32" t="n">
        <v>5543.791419646707</v>
      </c>
    </row>
    <row r="25">
      <c r="A25" s="29" t="inlineStr">
        <is>
          <t>M9</t>
        </is>
      </c>
      <c r="B25" s="30" t="n">
        <v>474.7017118922857</v>
      </c>
      <c r="C25" s="30" t="n">
        <v>5766.099367160843</v>
      </c>
      <c r="D25" s="30" t="n">
        <v>6070.143076432576</v>
      </c>
    </row>
    <row r="26">
      <c r="A26" s="31" t="inlineStr">
        <is>
          <t>M10</t>
        </is>
      </c>
      <c r="B26" s="32" t="n">
        <v>269.5597803679772</v>
      </c>
      <c r="C26" s="32" t="n">
        <v>6272.613341847277</v>
      </c>
      <c r="D26" s="32" t="n">
        <v>6617.548799489879</v>
      </c>
    </row>
    <row r="27">
      <c r="A27" s="29" t="inlineStr">
        <is>
          <t>M11</t>
        </is>
      </c>
      <c r="B27" s="30" t="n">
        <v>56.21217158269627</v>
      </c>
      <c r="C27" s="30" t="n">
        <v>6799.387875521168</v>
      </c>
      <c r="D27" s="30" t="n">
        <v>7186.850751469476</v>
      </c>
    </row>
    <row r="28">
      <c r="A28" s="31" t="inlineStr">
        <is>
          <t>M12</t>
        </is>
      </c>
      <c r="B28" s="54" t="n">
        <v>-165.6693415539959</v>
      </c>
      <c r="C28" s="32" t="n">
        <v>7347.233390542015</v>
      </c>
      <c r="D28" s="32" t="n">
        <v>7778.924781528255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2026-07-31T12:46:49Z</dcterms:created>
  <dcterms:modified xsi:type="dcterms:W3CDTF">2026-07-31T12:46:49Z</dcterms:modified>
</cp:coreProperties>
</file>